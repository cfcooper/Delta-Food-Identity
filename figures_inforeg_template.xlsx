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urtneycooper/Documents/GitHub/Delta-Food-Identity/"/>
    </mc:Choice>
  </mc:AlternateContent>
  <xr:revisionPtr revIDLastSave="0" documentId="8_{4309841B-9E80-3C45-8C38-B47936A19132}" xr6:coauthVersionLast="47" xr6:coauthVersionMax="47" xr10:uidLastSave="{00000000-0000-0000-0000-000000000000}"/>
  <bookViews>
    <workbookView xWindow="1180" yWindow="1500" windowWidth="27240" windowHeight="14940" xr2:uid="{2AB1772F-9229-444C-B356-01BDA3F6C2ED}"/>
  </bookViews>
  <sheets>
    <sheet name="figures_inforeg_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G3" i="1"/>
  <c r="G4" i="1"/>
  <c r="F15" i="1"/>
  <c r="F16" i="1"/>
  <c r="F17" i="1"/>
  <c r="F14" i="1"/>
  <c r="F11" i="1"/>
  <c r="F12" i="1"/>
  <c r="F13" i="1"/>
  <c r="F10" i="1"/>
  <c r="F6" i="1"/>
  <c r="F7" i="1"/>
  <c r="F8" i="1"/>
  <c r="F9" i="1"/>
  <c r="F3" i="1"/>
  <c r="F4" i="1"/>
  <c r="F5" i="1"/>
  <c r="F2" i="1"/>
</calcChain>
</file>

<file path=xl/sharedStrings.xml><?xml version="1.0" encoding="utf-8"?>
<sst xmlns="http://schemas.openxmlformats.org/spreadsheetml/2006/main" count="22" uniqueCount="8">
  <si>
    <t>target_state</t>
  </si>
  <si>
    <t>info_treatment</t>
  </si>
  <si>
    <t>ricec1</t>
  </si>
  <si>
    <t>ricec2</t>
  </si>
  <si>
    <t>count</t>
  </si>
  <si>
    <t>black</t>
  </si>
  <si>
    <t>delta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</si>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</sst>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0" fillId="33" borderId="0" xfId="0" applyFill="1"/>
    <xf numFmtId="164" fontId="18" fillId="0" borderId="0" xfId="0" applyNumberFormat="1" applyFont="1"/>
    <xf numFmtId="0" fontId="0" fillId="0" borderId="10" xfId="0" applyBorder="1"/>
    <xf numFmtId="164" fontId="18" fillId="0" borderId="10" xfId="0" applyNumberFormat="1" applyFont="1" applyBorder="1"/>
    <xf numFmtId="0" fontId="0" fillId="33" borderId="10" xfId="0" applyFill="1" applyBorder="1"/>
    <xf numFmtId="164" fontId="0" fillId="0" borderId="10" xfId="1" applyNumberFormat="1" applyFont="1" applyBorder="1"/>
    <xf numFmtId="164" fontId="0" fillId="33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A90B-4EEB-D04F-8D17-708C9DEE51B8}">
  <dimension ref="A1:G17"/>
  <sheetViews>
    <sheetView tabSelected="1" workbookViewId="0">
      <selection activeCell="G9" sqref="G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7</v>
      </c>
    </row>
    <row r="2" spans="1:7" x14ac:dyDescent="0.2">
      <c r="A2" s="2">
        <v>0</v>
      </c>
      <c r="B2" t="s">
        <v>5</v>
      </c>
      <c r="C2">
        <v>0</v>
      </c>
      <c r="D2">
        <v>0</v>
      </c>
      <c r="E2">
        <v>4</v>
      </c>
      <c r="F2" s="1">
        <f>E2/SUM($E$2:$E$5)</f>
        <v>1.7857142857142856E-2</v>
      </c>
    </row>
    <row r="3" spans="1:7" x14ac:dyDescent="0.2">
      <c r="A3" s="2">
        <v>0</v>
      </c>
      <c r="B3" t="s">
        <v>5</v>
      </c>
      <c r="C3">
        <v>0</v>
      </c>
      <c r="D3">
        <v>1</v>
      </c>
      <c r="E3">
        <v>21</v>
      </c>
      <c r="F3" s="1">
        <f t="shared" ref="F3:F5" si="0">E3/SUM($E$2:$E$5)</f>
        <v>9.375E-2</v>
      </c>
      <c r="G3" s="1">
        <f>SUM(E2:E3)/SUM($E$2:$E$5)</f>
        <v>0.11160714285714286</v>
      </c>
    </row>
    <row r="4" spans="1:7" x14ac:dyDescent="0.2">
      <c r="A4" s="2">
        <v>0</v>
      </c>
      <c r="B4" t="s">
        <v>5</v>
      </c>
      <c r="C4">
        <v>1</v>
      </c>
      <c r="D4">
        <v>0</v>
      </c>
      <c r="E4">
        <v>116</v>
      </c>
      <c r="F4" s="1">
        <f t="shared" si="0"/>
        <v>0.5178571428571429</v>
      </c>
      <c r="G4" s="8">
        <f>SUM(E4:E5)/SUM($E$2:$E$5)</f>
        <v>0.8883928571428571</v>
      </c>
    </row>
    <row r="5" spans="1:7" x14ac:dyDescent="0.2">
      <c r="A5" s="2">
        <v>0</v>
      </c>
      <c r="B5" t="s">
        <v>5</v>
      </c>
      <c r="C5">
        <v>1</v>
      </c>
      <c r="D5">
        <v>1</v>
      </c>
      <c r="E5">
        <v>83</v>
      </c>
      <c r="F5" s="1">
        <f t="shared" si="0"/>
        <v>0.3705357142857143</v>
      </c>
    </row>
    <row r="6" spans="1:7" x14ac:dyDescent="0.2">
      <c r="A6" s="4">
        <v>0</v>
      </c>
      <c r="B6" s="4" t="s">
        <v>6</v>
      </c>
      <c r="C6" s="4">
        <v>0</v>
      </c>
      <c r="D6" s="4">
        <v>0</v>
      </c>
      <c r="E6" s="4">
        <v>18</v>
      </c>
      <c r="F6" s="7">
        <f>E6/SUM($E$6:$E$9)</f>
        <v>8.6956521739130432E-2</v>
      </c>
    </row>
    <row r="7" spans="1:7" x14ac:dyDescent="0.2">
      <c r="A7">
        <v>0</v>
      </c>
      <c r="B7" t="s">
        <v>6</v>
      </c>
      <c r="C7">
        <v>0</v>
      </c>
      <c r="D7">
        <v>1</v>
      </c>
      <c r="E7">
        <v>34</v>
      </c>
      <c r="F7" s="1">
        <f t="shared" ref="F7:F9" si="1">E7/SUM($E$6:$E$9)</f>
        <v>0.16425120772946861</v>
      </c>
      <c r="G7" s="1">
        <f>SUM(E6:E7)/SUM($E$6:$E$9)</f>
        <v>0.25120772946859904</v>
      </c>
    </row>
    <row r="8" spans="1:7" x14ac:dyDescent="0.2">
      <c r="A8">
        <v>0</v>
      </c>
      <c r="B8" t="s">
        <v>6</v>
      </c>
      <c r="C8">
        <v>1</v>
      </c>
      <c r="D8">
        <v>0</v>
      </c>
      <c r="E8">
        <v>100</v>
      </c>
      <c r="F8" s="1">
        <f t="shared" si="1"/>
        <v>0.48309178743961351</v>
      </c>
      <c r="G8" s="1">
        <f>SUM(E8:E9)/SUM($E$6:$E$9)</f>
        <v>0.74879227053140096</v>
      </c>
    </row>
    <row r="9" spans="1:7" x14ac:dyDescent="0.2">
      <c r="A9">
        <v>0</v>
      </c>
      <c r="B9" t="s">
        <v>6</v>
      </c>
      <c r="C9">
        <v>1</v>
      </c>
      <c r="D9">
        <v>1</v>
      </c>
      <c r="E9">
        <v>55</v>
      </c>
      <c r="F9" s="1">
        <f t="shared" si="1"/>
        <v>0.26570048309178745</v>
      </c>
    </row>
    <row r="10" spans="1:7" x14ac:dyDescent="0.2">
      <c r="A10" s="6">
        <v>1</v>
      </c>
      <c r="B10" s="4" t="s">
        <v>5</v>
      </c>
      <c r="C10" s="4">
        <v>0</v>
      </c>
      <c r="D10" s="4">
        <v>0</v>
      </c>
      <c r="E10" s="4">
        <v>8</v>
      </c>
      <c r="F10" s="5">
        <f>E10/SUM($E$10:$E$13)</f>
        <v>3.4782608695652174E-2</v>
      </c>
    </row>
    <row r="11" spans="1:7" x14ac:dyDescent="0.2">
      <c r="A11" s="2">
        <v>1</v>
      </c>
      <c r="B11" t="s">
        <v>5</v>
      </c>
      <c r="C11">
        <v>0</v>
      </c>
      <c r="D11">
        <v>1</v>
      </c>
      <c r="E11">
        <v>35</v>
      </c>
      <c r="F11" s="3">
        <f t="shared" ref="F11:F14" si="2">E11/SUM($E$10:$E$13)</f>
        <v>0.15217391304347827</v>
      </c>
    </row>
    <row r="12" spans="1:7" x14ac:dyDescent="0.2">
      <c r="A12" s="2">
        <v>1</v>
      </c>
      <c r="B12" t="s">
        <v>5</v>
      </c>
      <c r="C12">
        <v>1</v>
      </c>
      <c r="D12">
        <v>0</v>
      </c>
      <c r="E12">
        <v>118</v>
      </c>
      <c r="F12" s="3">
        <f t="shared" si="2"/>
        <v>0.5130434782608696</v>
      </c>
    </row>
    <row r="13" spans="1:7" x14ac:dyDescent="0.2">
      <c r="A13" s="2">
        <v>1</v>
      </c>
      <c r="B13" t="s">
        <v>5</v>
      </c>
      <c r="C13">
        <v>1</v>
      </c>
      <c r="D13">
        <v>1</v>
      </c>
      <c r="E13">
        <v>69</v>
      </c>
      <c r="F13" s="3">
        <f t="shared" si="2"/>
        <v>0.3</v>
      </c>
    </row>
    <row r="14" spans="1:7" x14ac:dyDescent="0.2">
      <c r="A14" s="4">
        <v>1</v>
      </c>
      <c r="B14" s="4" t="s">
        <v>6</v>
      </c>
      <c r="C14" s="4">
        <v>0</v>
      </c>
      <c r="D14" s="4">
        <v>0</v>
      </c>
      <c r="E14" s="4">
        <v>11</v>
      </c>
      <c r="F14" s="5">
        <f>E14/SUM($E$14:$E$17)</f>
        <v>4.4534412955465584E-2</v>
      </c>
    </row>
    <row r="15" spans="1:7" x14ac:dyDescent="0.2">
      <c r="A15">
        <v>1</v>
      </c>
      <c r="B15" t="s">
        <v>6</v>
      </c>
      <c r="C15">
        <v>0</v>
      </c>
      <c r="D15">
        <v>1</v>
      </c>
      <c r="E15">
        <v>37</v>
      </c>
      <c r="F15" s="3">
        <f t="shared" ref="F15:F17" si="3">E15/SUM($E$14:$E$17)</f>
        <v>0.14979757085020243</v>
      </c>
    </row>
    <row r="16" spans="1:7" x14ac:dyDescent="0.2">
      <c r="A16">
        <v>1</v>
      </c>
      <c r="B16" t="s">
        <v>6</v>
      </c>
      <c r="C16">
        <v>1</v>
      </c>
      <c r="D16">
        <v>0</v>
      </c>
      <c r="E16">
        <v>131</v>
      </c>
      <c r="F16" s="3">
        <f t="shared" si="3"/>
        <v>0.53036437246963564</v>
      </c>
    </row>
    <row r="17" spans="1:6" x14ac:dyDescent="0.2">
      <c r="A17">
        <v>1</v>
      </c>
      <c r="B17" t="s">
        <v>6</v>
      </c>
      <c r="C17">
        <v>1</v>
      </c>
      <c r="D17">
        <v>1</v>
      </c>
      <c r="E17">
        <v>68</v>
      </c>
      <c r="F17" s="3">
        <f t="shared" si="3"/>
        <v>0.27530364372469635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figures_inforeg_rice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Courtney Cooper</cp:lastModifiedBy>
  <dcterms:created xsi:type="dcterms:W3CDTF">2026-03-16T18:54:11Z</dcterms:created>
  <dcterms:modified xsi:type="dcterms:W3CDTF">2026-03-16T18:54:12Z</dcterms:modified>
</cp:coreProperties>
</file>